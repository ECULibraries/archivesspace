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\\piratedrive\ECULibraries\ArchivesSpaceMigration\Documents\"/>
    </mc:Choice>
  </mc:AlternateContent>
  <xr:revisionPtr revIDLastSave="0" documentId="13_ncr:1_{078AF126-3612-401D-9999-5DF59F063C39}" xr6:coauthVersionLast="44" xr6:coauthVersionMax="44" xr10:uidLastSave="{00000000-0000-0000-0000-000000000000}"/>
  <bookViews>
    <workbookView xWindow="-120" yWindow="-120" windowWidth="29040" windowHeight="15225" tabRatio="500" firstSheet="1" activeTab="1" xr2:uid="{00000000-000D-0000-FFFF-FFFF00000000}"/>
  </bookViews>
  <sheets>
    <sheet name="Critical Path" sheetId="3" r:id="rId1"/>
    <sheet name="Project Timeline" sheetId="1" r:id="rId2"/>
    <sheet name="Three-Point Analysis" sheetId="2" r:id="rId3"/>
    <sheet name="Communication Plan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2" i="1" l="1"/>
  <c r="D32" i="1"/>
  <c r="E32" i="1" s="1"/>
  <c r="F32" i="1"/>
  <c r="C32" i="1"/>
  <c r="H28" i="1"/>
  <c r="H29" i="1"/>
  <c r="H30" i="1"/>
  <c r="H31" i="1"/>
  <c r="H27" i="1"/>
  <c r="H26" i="1"/>
  <c r="H32" i="1" l="1"/>
  <c r="H25" i="1"/>
  <c r="H24" i="1"/>
  <c r="H23" i="1"/>
  <c r="H22" i="1"/>
  <c r="H21" i="1"/>
  <c r="H20" i="1"/>
  <c r="H19" i="1"/>
  <c r="H18" i="1"/>
  <c r="H17" i="1"/>
  <c r="H16" i="1" l="1"/>
  <c r="H15" i="1" l="1"/>
  <c r="H14" i="1"/>
  <c r="H13" i="1"/>
  <c r="H12" i="1"/>
  <c r="H11" i="1"/>
  <c r="G10" i="1" l="1"/>
  <c r="F10" i="1"/>
  <c r="H9" i="1"/>
  <c r="H8" i="1"/>
  <c r="G7" i="1"/>
  <c r="F7" i="1"/>
  <c r="H4" i="1"/>
  <c r="H5" i="1"/>
  <c r="H6" i="1"/>
  <c r="H3" i="1"/>
  <c r="G2" i="1"/>
  <c r="F2" i="1"/>
  <c r="H7" i="1" l="1"/>
  <c r="H10" i="1"/>
  <c r="H2" i="1"/>
  <c r="E30" i="1"/>
  <c r="D17" i="1"/>
  <c r="E23" i="1"/>
  <c r="E24" i="1"/>
  <c r="E14" i="1"/>
  <c r="F7" i="2" l="1"/>
  <c r="E7" i="2"/>
  <c r="D7" i="2"/>
  <c r="D2" i="1"/>
  <c r="D26" i="1"/>
  <c r="C26" i="1"/>
  <c r="D20" i="1"/>
  <c r="C20" i="1"/>
  <c r="C17" i="1"/>
  <c r="D10" i="1"/>
  <c r="C10" i="1"/>
  <c r="D7" i="1"/>
  <c r="C7" i="1"/>
  <c r="E29" i="1"/>
  <c r="E28" i="1"/>
  <c r="E27" i="1"/>
  <c r="E31" i="1"/>
  <c r="E25" i="1"/>
  <c r="E22" i="1"/>
  <c r="E21" i="1"/>
  <c r="E16" i="1"/>
  <c r="E19" i="1"/>
  <c r="E15" i="1"/>
  <c r="E18" i="1"/>
  <c r="E13" i="1"/>
  <c r="E6" i="1"/>
  <c r="E5" i="1"/>
  <c r="E20" i="1" l="1"/>
  <c r="E26" i="1"/>
  <c r="E17" i="1"/>
  <c r="C2" i="1"/>
  <c r="E3" i="1"/>
  <c r="E4" i="1"/>
  <c r="E8" i="1"/>
  <c r="E9" i="1"/>
  <c r="E10" i="1"/>
  <c r="E11" i="1"/>
  <c r="E12" i="1"/>
  <c r="E2" i="1" l="1"/>
  <c r="E7" i="1"/>
</calcChain>
</file>

<file path=xl/sharedStrings.xml><?xml version="1.0" encoding="utf-8"?>
<sst xmlns="http://schemas.openxmlformats.org/spreadsheetml/2006/main" count="173" uniqueCount="102">
  <si>
    <t>Task Name</t>
  </si>
  <si>
    <t>Responsible</t>
  </si>
  <si>
    <t>Status</t>
  </si>
  <si>
    <t>Project Planning</t>
  </si>
  <si>
    <t>Working Group</t>
  </si>
  <si>
    <t>Finalize goals and scope</t>
  </si>
  <si>
    <t>Kelly</t>
  </si>
  <si>
    <t>Develop technical scenarios</t>
  </si>
  <si>
    <t>Finalize timeline</t>
  </si>
  <si>
    <t>WG</t>
  </si>
  <si>
    <t>Resource Identification</t>
  </si>
  <si>
    <t>Complete work breakdown structure</t>
  </si>
  <si>
    <t>Submit Phase 1 report</t>
  </si>
  <si>
    <t>Submit Phase 2 report</t>
  </si>
  <si>
    <t>Data Research and Review</t>
  </si>
  <si>
    <t>Inventory of data sources</t>
  </si>
  <si>
    <t>Develop crosswalks</t>
  </si>
  <si>
    <t>Identify data quality issues</t>
  </si>
  <si>
    <t>Data prep and cleanup</t>
  </si>
  <si>
    <t>Run sample migrations</t>
  </si>
  <si>
    <t>Submit Phase 3 report</t>
  </si>
  <si>
    <t>Testing</t>
  </si>
  <si>
    <t>AS training for users</t>
  </si>
  <si>
    <t>Develop local policy documentation</t>
  </si>
  <si>
    <t>Documentation</t>
  </si>
  <si>
    <t>Run full migrations</t>
  </si>
  <si>
    <t>Evaluate migration results</t>
  </si>
  <si>
    <t>Submit Phase 4 report</t>
  </si>
  <si>
    <t>Production</t>
  </si>
  <si>
    <t>Set up production instance</t>
  </si>
  <si>
    <t>Michael</t>
  </si>
  <si>
    <t>Push migration</t>
  </si>
  <si>
    <t>QA migration results</t>
  </si>
  <si>
    <t>Submit final report</t>
  </si>
  <si>
    <t>Phase</t>
  </si>
  <si>
    <t>Activity</t>
  </si>
  <si>
    <t>Subtasks</t>
  </si>
  <si>
    <t>Optimistic</t>
  </si>
  <si>
    <t>Most Likely</t>
  </si>
  <si>
    <t>Maximal</t>
  </si>
  <si>
    <t>Notes</t>
  </si>
  <si>
    <t>Finalize goals, scope, technical scenarios, and timeline.</t>
  </si>
  <si>
    <t xml:space="preserve">O: Much of the work may already be accurate in the draft documents. Max: May need further consult with Major Stakeholders. </t>
  </si>
  <si>
    <t xml:space="preserve">Data inventory, crosswalk development, data quality issues, data prep and cleaning, run sample migrations. This phase also includes start of documentation and training. </t>
  </si>
  <si>
    <t xml:space="preserve">O: Data inventory may not take very long. ArchivesSpace crosswalks may provide a clear directions for data prep/crosswalks. Max: Data prep may be more than first anticipated. Extra time to develop workflow and tools. </t>
  </si>
  <si>
    <t xml:space="preserve">Run full migrations, evaluate results, repeat. This phase continues documentation and training. </t>
  </si>
  <si>
    <t>O: Data prep in phase 3 flawless. Max: Errors found with full set of data require team to step back into additional data prep.</t>
  </si>
  <si>
    <t>Push migration, QA results, submit final report.</t>
  </si>
  <si>
    <t xml:space="preserve">O: Full migration testing went smoothly. Full migration doesn't throw additional errors. Max: Full migration throws new errors not seen in previous testing. </t>
  </si>
  <si>
    <t>Total number of days</t>
  </si>
  <si>
    <t xml:space="preserve">O: Staff may already self identify with tasks. Max: Staff do not identify with tasks. </t>
  </si>
  <si>
    <t>Complete work breakdown structure, secure any additional resources needed.</t>
  </si>
  <si>
    <t>Stakeholder</t>
  </si>
  <si>
    <t>Communications Method</t>
  </si>
  <si>
    <t>Frequency</t>
  </si>
  <si>
    <t>Responsibility</t>
  </si>
  <si>
    <t>Key Stakeholders</t>
  </si>
  <si>
    <t>Project Kickoff Meeting</t>
  </si>
  <si>
    <t>Start of project</t>
  </si>
  <si>
    <t>In-person Meetings</t>
  </si>
  <si>
    <t>Project manager</t>
  </si>
  <si>
    <t>Library</t>
  </si>
  <si>
    <t>Archival Community</t>
  </si>
  <si>
    <t>ArchivesSpace Blog Posts</t>
  </si>
  <si>
    <t>Monthly</t>
  </si>
  <si>
    <t>ECU Community?</t>
  </si>
  <si>
    <t>Reports</t>
  </si>
  <si>
    <t>End of each  project phase. Intermittent reports as requested.</t>
  </si>
  <si>
    <t xml:space="preserve">TBD </t>
  </si>
  <si>
    <t>Divisions</t>
  </si>
  <si>
    <t>Updates as an agenda item</t>
  </si>
  <si>
    <t>During regularly scheduled division or core meetings</t>
  </si>
  <si>
    <t>Project rep for respective division</t>
  </si>
  <si>
    <t>Special Collections, Special Collections Cataloging, Application and Digital Services, Collections and Historical Services (Laupus).</t>
  </si>
  <si>
    <t>If there is a library website presence, will that be sufficient?</t>
  </si>
  <si>
    <t>Teams</t>
  </si>
  <si>
    <t>TBD by Team leads</t>
  </si>
  <si>
    <t>Team leads</t>
  </si>
  <si>
    <t>Determine where documents will be stored.</t>
  </si>
  <si>
    <t>News and events announcement</t>
  </si>
  <si>
    <t>At start of project. Other updates as AD for Assessment &amp; Engagment sees fit.</t>
  </si>
  <si>
    <t>In conjunction with ArchivesSpace blog posts.</t>
  </si>
  <si>
    <t>Front-end system development</t>
  </si>
  <si>
    <t>Peer website evaluation</t>
  </si>
  <si>
    <t>Te = (To + 4Tm + Tmax)/6 = 632 working days = Including holidays, May 10, 2020.</t>
  </si>
  <si>
    <t>Will pull together information from team updates, etc.</t>
  </si>
  <si>
    <t>Weekly - Thursday 3 pm</t>
  </si>
  <si>
    <t>\\piratedrive\ECULibraries\ArchivesSpaceMigration</t>
  </si>
  <si>
    <t>ALS Fall Kickoff Breakfast</t>
  </si>
  <si>
    <t>During first phase</t>
  </si>
  <si>
    <t>Introduce working group and others who are involved with the project.</t>
  </si>
  <si>
    <t>Complete</t>
  </si>
  <si>
    <t>Anticipated Start</t>
  </si>
  <si>
    <t>Anticipated End</t>
  </si>
  <si>
    <t>Anticipated # of Days</t>
  </si>
  <si>
    <t>Actual Start</t>
  </si>
  <si>
    <t>Actual End</t>
  </si>
  <si>
    <t>Actual # of Days</t>
  </si>
  <si>
    <t>All</t>
  </si>
  <si>
    <t>Perr website review team</t>
  </si>
  <si>
    <r>
      <t xml:space="preserve">Further front-end development, if necessary. </t>
    </r>
    <r>
      <rPr>
        <b/>
        <sz val="12"/>
        <color theme="1"/>
        <rFont val="Calibri"/>
        <family val="2"/>
        <scheme val="minor"/>
      </rPr>
      <t>This became Fetch development</t>
    </r>
    <r>
      <rPr>
        <sz val="12"/>
        <color theme="1"/>
        <rFont val="Calibri"/>
        <family val="2"/>
        <scheme val="minor"/>
      </rPr>
      <t>.</t>
    </r>
  </si>
  <si>
    <t>Total Project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</si>
</sst>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;@"/>
    <numFmt numFmtId="165" formatCode="yyyy\-mm\-dd;@"/>
  </numFmts>
  <fonts count="1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8F49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theme="0" tint="-4.9989318521683403E-2"/>
      </right>
      <top/>
      <bottom style="medium">
        <color indexed="64"/>
      </bottom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medium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</cellStyleXfs>
  <cellXfs count="66">
    <xf numFmtId="0" fontId="0" fillId="0" borderId="0" xfId="0"/>
    <xf numFmtId="0" fontId="0" fillId="2" borderId="0" xfId="0" applyFill="1"/>
    <xf numFmtId="0" fontId="6" fillId="3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 readingOrder="1"/>
    </xf>
    <xf numFmtId="0" fontId="0" fillId="2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 wrapText="1" readingOrder="1"/>
    </xf>
    <xf numFmtId="0" fontId="0" fillId="2" borderId="1" xfId="0" applyFont="1" applyFill="1" applyBorder="1" applyAlignment="1">
      <alignment horizontal="center" wrapText="1"/>
    </xf>
    <xf numFmtId="0" fontId="11" fillId="2" borderId="2" xfId="0" applyFont="1" applyFill="1" applyBorder="1" applyAlignment="1">
      <alignment horizontal="center" vertical="center" wrapText="1" readingOrder="1"/>
    </xf>
    <xf numFmtId="0" fontId="12" fillId="5" borderId="1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center" wrapText="1" readingOrder="1"/>
    </xf>
    <xf numFmtId="0" fontId="12" fillId="9" borderId="1" xfId="0" applyFont="1" applyFill="1" applyBorder="1" applyAlignment="1">
      <alignment horizontal="center" wrapText="1"/>
    </xf>
    <xf numFmtId="164" fontId="9" fillId="9" borderId="1" xfId="0" applyNumberFormat="1" applyFont="1" applyFill="1" applyBorder="1" applyAlignment="1">
      <alignment horizontal="center"/>
    </xf>
    <xf numFmtId="0" fontId="9" fillId="9" borderId="1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164" fontId="14" fillId="4" borderId="1" xfId="0" applyNumberFormat="1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 wrapText="1"/>
    </xf>
    <xf numFmtId="0" fontId="13" fillId="8" borderId="1" xfId="0" applyFont="1" applyFill="1" applyBorder="1" applyAlignment="1">
      <alignment horizontal="center"/>
    </xf>
    <xf numFmtId="164" fontId="12" fillId="7" borderId="1" xfId="0" applyNumberFormat="1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 wrapText="1"/>
    </xf>
    <xf numFmtId="0" fontId="0" fillId="0" borderId="1" xfId="0" applyFont="1" applyFill="1" applyBorder="1" applyAlignment="1">
      <alignment horizontal="center"/>
    </xf>
    <xf numFmtId="0" fontId="2" fillId="0" borderId="0" xfId="5"/>
    <xf numFmtId="0" fontId="2" fillId="0" borderId="0" xfId="5" applyAlignment="1">
      <alignment wrapText="1"/>
    </xf>
    <xf numFmtId="0" fontId="10" fillId="0" borderId="0" xfId="5" applyFont="1"/>
    <xf numFmtId="0" fontId="10" fillId="0" borderId="0" xfId="5" applyFont="1" applyAlignment="1">
      <alignment wrapText="1"/>
    </xf>
    <xf numFmtId="0" fontId="2" fillId="0" borderId="1" xfId="5" applyBorder="1"/>
    <xf numFmtId="0" fontId="2" fillId="0" borderId="1" xfId="5" applyBorder="1" applyAlignment="1">
      <alignment wrapText="1"/>
    </xf>
    <xf numFmtId="0" fontId="15" fillId="0" borderId="1" xfId="5" applyFont="1" applyBorder="1"/>
    <xf numFmtId="0" fontId="10" fillId="0" borderId="1" xfId="5" applyFont="1" applyBorder="1"/>
    <xf numFmtId="165" fontId="2" fillId="0" borderId="1" xfId="5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0" fontId="0" fillId="0" borderId="0" xfId="0" applyBorder="1"/>
    <xf numFmtId="0" fontId="1" fillId="0" borderId="1" xfId="5" applyFont="1" applyBorder="1" applyAlignment="1">
      <alignment wrapText="1"/>
    </xf>
    <xf numFmtId="0" fontId="0" fillId="10" borderId="5" xfId="0" applyFill="1" applyBorder="1"/>
    <xf numFmtId="0" fontId="0" fillId="10" borderId="3" xfId="0" applyFill="1" applyBorder="1"/>
    <xf numFmtId="0" fontId="0" fillId="10" borderId="3" xfId="0" applyFill="1" applyBorder="1" applyAlignment="1">
      <alignment wrapText="1"/>
    </xf>
    <xf numFmtId="14" fontId="8" fillId="2" borderId="1" xfId="0" applyNumberFormat="1" applyFont="1" applyFill="1" applyBorder="1" applyAlignment="1">
      <alignment horizontal="center" vertical="center" wrapText="1" readingOrder="1"/>
    </xf>
    <xf numFmtId="14" fontId="0" fillId="2" borderId="1" xfId="0" applyNumberFormat="1" applyFont="1" applyFill="1" applyBorder="1" applyAlignment="1">
      <alignment horizontal="center"/>
    </xf>
    <xf numFmtId="14" fontId="0" fillId="0" borderId="1" xfId="0" applyNumberFormat="1" applyFont="1" applyFill="1" applyBorder="1" applyAlignment="1">
      <alignment horizontal="center"/>
    </xf>
    <xf numFmtId="0" fontId="0" fillId="0" borderId="0" xfId="0" applyBorder="1" applyAlignment="1">
      <alignment wrapText="1"/>
    </xf>
    <xf numFmtId="0" fontId="16" fillId="10" borderId="4" xfId="0" applyFont="1" applyFill="1" applyBorder="1"/>
    <xf numFmtId="0" fontId="16" fillId="10" borderId="4" xfId="0" applyFont="1" applyFill="1" applyBorder="1" applyAlignment="1">
      <alignment wrapText="1"/>
    </xf>
    <xf numFmtId="0" fontId="0" fillId="2" borderId="0" xfId="0" applyFill="1" applyBorder="1"/>
    <xf numFmtId="0" fontId="0" fillId="2" borderId="0" xfId="0" applyFill="1" applyBorder="1" applyAlignment="1">
      <alignment wrapText="1"/>
    </xf>
    <xf numFmtId="0" fontId="0" fillId="0" borderId="5" xfId="0" applyBorder="1"/>
    <xf numFmtId="0" fontId="0" fillId="0" borderId="5" xfId="0" applyBorder="1" applyAlignment="1">
      <alignment wrapText="1"/>
    </xf>
    <xf numFmtId="0" fontId="0" fillId="2" borderId="3" xfId="0" applyFill="1" applyBorder="1" applyAlignment="1">
      <alignment wrapText="1"/>
    </xf>
    <xf numFmtId="0" fontId="0" fillId="0" borderId="7" xfId="0" applyBorder="1" applyAlignment="1">
      <alignment wrapText="1"/>
    </xf>
    <xf numFmtId="0" fontId="0" fillId="2" borderId="6" xfId="0" applyFill="1" applyBorder="1" applyAlignment="1">
      <alignment wrapText="1"/>
    </xf>
    <xf numFmtId="0" fontId="0" fillId="2" borderId="8" xfId="0" applyFill="1" applyBorder="1"/>
    <xf numFmtId="0" fontId="0" fillId="0" borderId="7" xfId="0" applyBorder="1"/>
    <xf numFmtId="0" fontId="0" fillId="2" borderId="6" xfId="0" applyFill="1" applyBorder="1"/>
    <xf numFmtId="0" fontId="6" fillId="8" borderId="1" xfId="0" applyFont="1" applyFill="1" applyBorder="1" applyAlignment="1">
      <alignment horizontal="center"/>
    </xf>
    <xf numFmtId="1" fontId="9" fillId="5" borderId="1" xfId="0" applyNumberFormat="1" applyFont="1" applyFill="1" applyBorder="1" applyAlignment="1">
      <alignment horizontal="center"/>
    </xf>
    <xf numFmtId="14" fontId="12" fillId="7" borderId="1" xfId="0" applyNumberFormat="1" applyFont="1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9" fillId="11" borderId="1" xfId="0" applyFont="1" applyFill="1" applyBorder="1" applyAlignment="1">
      <alignment horizontal="center" wrapText="1"/>
    </xf>
    <xf numFmtId="0" fontId="9" fillId="11" borderId="1" xfId="0" applyFont="1" applyFill="1" applyBorder="1" applyAlignment="1">
      <alignment horizontal="center"/>
    </xf>
    <xf numFmtId="14" fontId="12" fillId="11" borderId="1" xfId="0" applyNumberFormat="1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/>
    </xf>
    <xf numFmtId="14" fontId="7" fillId="6" borderId="1" xfId="0" applyNumberFormat="1" applyFont="1" applyFill="1" applyBorder="1" applyAlignment="1">
      <alignment horizontal="center" vertical="center" wrapText="1" readingOrder="1"/>
    </xf>
    <xf numFmtId="14" fontId="13" fillId="8" borderId="1" xfId="0" applyNumberFormat="1" applyFont="1" applyFill="1" applyBorder="1" applyAlignment="1">
      <alignment horizontal="center"/>
    </xf>
    <xf numFmtId="14" fontId="9" fillId="5" borderId="1" xfId="0" applyNumberFormat="1" applyFont="1" applyFill="1" applyBorder="1" applyAlignment="1">
      <alignment horizontal="center"/>
    </xf>
  </cellXfs>
  <cellStyles count="6">
    <cellStyle name="Followed Hyperlink" xfId="2" builtinId="9" hidden="1"/>
    <cellStyle name="Followed Hyperlink" xfId="3" builtinId="9" hidden="1"/>
    <cellStyle name="Followed Hyperlink" xfId="4" builtinId="9" hidden="1"/>
    <cellStyle name="Hyperlink" xfId="1" builtinId="8" hidden="1"/>
    <cellStyle name="Normal" xfId="0" builtinId="0"/>
    <cellStyle name="Normal 2" xfId="5" xr:uid="{00000000-0005-0000-0000-000005000000}"/>
  </cellStyles>
  <dxfs count="8"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9" defaultPivotStyle="PivotStyleMedium4"/>
  <colors>
    <mruColors>
      <color rgb="FFF8F49E"/>
      <color rgb="FFF1E83B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'Project Timeline'!$C$1</c:f>
              <c:strCache>
                <c:ptCount val="1"/>
                <c:pt idx="0">
                  <c:v>Anticipated Start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'Project Timeline'!$A$2:$A$31</c:f>
              <c:strCache>
                <c:ptCount val="30"/>
                <c:pt idx="0">
                  <c:v>Project Planning</c:v>
                </c:pt>
                <c:pt idx="1">
                  <c:v>Finalize goals and scope</c:v>
                </c:pt>
                <c:pt idx="2">
                  <c:v>Develop technical scenarios</c:v>
                </c:pt>
                <c:pt idx="3">
                  <c:v>Finalize timeline</c:v>
                </c:pt>
                <c:pt idx="4">
                  <c:v>Submit Phase 1 report</c:v>
                </c:pt>
                <c:pt idx="5">
                  <c:v>Resource Identification</c:v>
                </c:pt>
                <c:pt idx="6">
                  <c:v>Complete work breakdown structure</c:v>
                </c:pt>
                <c:pt idx="7">
                  <c:v>Submit Phase 2 report</c:v>
                </c:pt>
                <c:pt idx="8">
                  <c:v>Data Research and Review</c:v>
                </c:pt>
                <c:pt idx="9">
                  <c:v>Inventory of data sources</c:v>
                </c:pt>
                <c:pt idx="10">
                  <c:v>Develop crosswalks</c:v>
                </c:pt>
                <c:pt idx="11">
                  <c:v>Identify data quality issues</c:v>
                </c:pt>
                <c:pt idx="12">
                  <c:v>Data prep and cleanup</c:v>
                </c:pt>
                <c:pt idx="13">
                  <c:v>Run sample migrations</c:v>
                </c:pt>
                <c:pt idx="14">
                  <c:v>Submit Phase 3 report</c:v>
                </c:pt>
                <c:pt idx="15">
                  <c:v>Documentation</c:v>
                </c:pt>
                <c:pt idx="16">
                  <c:v>AS training for users</c:v>
                </c:pt>
                <c:pt idx="17">
                  <c:v>Develop local policy documentation</c:v>
                </c:pt>
                <c:pt idx="18">
                  <c:v>Testing</c:v>
                </c:pt>
                <c:pt idx="19">
                  <c:v>Run full migrations</c:v>
                </c:pt>
                <c:pt idx="20">
                  <c:v>Evaluate migration results</c:v>
                </c:pt>
                <c:pt idx="21">
                  <c:v>Peer website evaluation</c:v>
                </c:pt>
                <c:pt idx="22">
                  <c:v>Front-end system development</c:v>
                </c:pt>
                <c:pt idx="23">
                  <c:v>Submit Phase 4 report</c:v>
                </c:pt>
                <c:pt idx="24">
                  <c:v>Production</c:v>
                </c:pt>
                <c:pt idx="25">
                  <c:v>Set up production instance</c:v>
                </c:pt>
                <c:pt idx="26">
                  <c:v>Push migration</c:v>
                </c:pt>
                <c:pt idx="27">
                  <c:v>QA migration results</c:v>
                </c:pt>
                <c:pt idx="28">
                  <c:v>Further front-end development, if necessary. This became Fetch development.</c:v>
                </c:pt>
                <c:pt idx="29">
                  <c:v>Submit final report</c:v>
                </c:pt>
              </c:strCache>
            </c:strRef>
          </c:cat>
          <c:val>
            <c:numRef>
              <c:f>'Project Timeline'!$C$2:$C$31</c:f>
              <c:numCache>
                <c:formatCode>m/d/yyyy</c:formatCode>
                <c:ptCount val="30"/>
                <c:pt idx="0">
                  <c:v>43308</c:v>
                </c:pt>
                <c:pt idx="1">
                  <c:v>43308</c:v>
                </c:pt>
                <c:pt idx="2">
                  <c:v>43315</c:v>
                </c:pt>
                <c:pt idx="3">
                  <c:v>43350</c:v>
                </c:pt>
                <c:pt idx="4">
                  <c:v>43357</c:v>
                </c:pt>
                <c:pt idx="5">
                  <c:v>43374</c:v>
                </c:pt>
                <c:pt idx="6">
                  <c:v>43374</c:v>
                </c:pt>
                <c:pt idx="7">
                  <c:v>43397</c:v>
                </c:pt>
                <c:pt idx="8">
                  <c:v>43405</c:v>
                </c:pt>
                <c:pt idx="9">
                  <c:v>43405</c:v>
                </c:pt>
                <c:pt idx="10">
                  <c:v>43450</c:v>
                </c:pt>
                <c:pt idx="11">
                  <c:v>43450</c:v>
                </c:pt>
                <c:pt idx="12">
                  <c:v>43450</c:v>
                </c:pt>
                <c:pt idx="13">
                  <c:v>43466</c:v>
                </c:pt>
                <c:pt idx="14">
                  <c:v>43678</c:v>
                </c:pt>
                <c:pt idx="15" formatCode="m/d;@">
                  <c:v>43405</c:v>
                </c:pt>
                <c:pt idx="16">
                  <c:v>43405</c:v>
                </c:pt>
                <c:pt idx="17">
                  <c:v>43466</c:v>
                </c:pt>
                <c:pt idx="18" formatCode="m/d;@">
                  <c:v>43709</c:v>
                </c:pt>
                <c:pt idx="19">
                  <c:v>43709</c:v>
                </c:pt>
                <c:pt idx="20">
                  <c:v>43709</c:v>
                </c:pt>
                <c:pt idx="21">
                  <c:v>43709</c:v>
                </c:pt>
                <c:pt idx="22">
                  <c:v>43709</c:v>
                </c:pt>
                <c:pt idx="23">
                  <c:v>43862</c:v>
                </c:pt>
                <c:pt idx="24" formatCode="m/d;@">
                  <c:v>43892</c:v>
                </c:pt>
                <c:pt idx="25">
                  <c:v>43892</c:v>
                </c:pt>
                <c:pt idx="26">
                  <c:v>43902</c:v>
                </c:pt>
                <c:pt idx="27">
                  <c:v>43909</c:v>
                </c:pt>
                <c:pt idx="28">
                  <c:v>43936</c:v>
                </c:pt>
                <c:pt idx="29">
                  <c:v>43922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A1-4774-B98D-1E4F3022F708}"/>
            </c:ext>
          </c:extLst>
        </c:ser>
        <c:ser>
          <c:idx val="1"/>
          <c:order val="1"/>
          <c:tx>
            <c:strRef>
              <c:f>'Project Timeline'!$E$1</c:f>
              <c:strCache>
                <c:ptCount val="1"/>
                <c:pt idx="0">
                  <c:v>Anticipated # of Days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2A1-4774-B98D-1E4F3022F708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E2A1-4774-B98D-1E4F3022F70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E2A1-4774-B98D-1E4F3022F708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2A1-4774-B98D-1E4F3022F708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E2A1-4774-B98D-1E4F3022F70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E2A1-4774-B98D-1E4F3022F70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E2A1-4774-B98D-1E4F3022F70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B-E2A1-4774-B98D-1E4F3022F708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D-E2A1-4774-B98D-1E4F3022F708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F-E2A1-4774-B98D-1E4F3022F708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1-E2A1-4774-B98D-1E4F3022F708}"/>
              </c:ext>
            </c:extLst>
          </c:dPt>
          <c:dPt>
            <c:idx val="1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3-E2A1-4774-B98D-1E4F3022F708}"/>
              </c:ext>
            </c:extLst>
          </c:dPt>
          <c:dPt>
            <c:idx val="1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5-E2A1-4774-B98D-1E4F3022F708}"/>
              </c:ext>
            </c:extLst>
          </c:dPt>
          <c:dPt>
            <c:idx val="1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7-E2A1-4774-B98D-1E4F3022F708}"/>
              </c:ext>
            </c:extLst>
          </c:dPt>
          <c:dPt>
            <c:idx val="1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9-E2A1-4774-B98D-1E4F3022F7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B-E2A1-4774-B98D-1E4F3022F7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D-E2A1-4774-B98D-1E4F3022F7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F-E2A1-4774-B98D-1E4F3022F708}"/>
              </c:ext>
            </c:extLst>
          </c:dPt>
          <c:dPt>
            <c:idx val="18"/>
            <c:invertIfNegative val="0"/>
            <c:bubble3D val="0"/>
            <c:spPr>
              <a:solidFill>
                <a:srgbClr val="F8F49E"/>
              </a:solidFill>
            </c:spPr>
            <c:extLst>
              <c:ext xmlns:c16="http://schemas.microsoft.com/office/drawing/2014/chart" uri="{C3380CC4-5D6E-409C-BE32-E72D297353CC}">
                <c16:uniqueId val="{00000021-E2A1-4774-B98D-1E4F3022F708}"/>
              </c:ext>
            </c:extLst>
          </c:dPt>
          <c:dPt>
            <c:idx val="19"/>
            <c:invertIfNegative val="0"/>
            <c:bubble3D val="0"/>
            <c:spPr>
              <a:solidFill>
                <a:srgbClr val="F8F49E"/>
              </a:solidFill>
            </c:spPr>
            <c:extLst>
              <c:ext xmlns:c16="http://schemas.microsoft.com/office/drawing/2014/chart" uri="{C3380CC4-5D6E-409C-BE32-E72D297353CC}">
                <c16:uniqueId val="{00000023-E2A1-4774-B98D-1E4F3022F708}"/>
              </c:ext>
            </c:extLst>
          </c:dPt>
          <c:dPt>
            <c:idx val="20"/>
            <c:invertIfNegative val="0"/>
            <c:bubble3D val="0"/>
            <c:spPr>
              <a:solidFill>
                <a:srgbClr val="F8F49E"/>
              </a:solidFill>
            </c:spPr>
            <c:extLst>
              <c:ext xmlns:c16="http://schemas.microsoft.com/office/drawing/2014/chart" uri="{C3380CC4-5D6E-409C-BE32-E72D297353CC}">
                <c16:uniqueId val="{00000025-E2A1-4774-B98D-1E4F3022F708}"/>
              </c:ext>
            </c:extLst>
          </c:dPt>
          <c:dPt>
            <c:idx val="21"/>
            <c:invertIfNegative val="0"/>
            <c:bubble3D val="0"/>
            <c:spPr>
              <a:solidFill>
                <a:srgbClr val="F8F49E"/>
              </a:solidFill>
            </c:spPr>
            <c:extLst>
              <c:ext xmlns:c16="http://schemas.microsoft.com/office/drawing/2014/chart" uri="{C3380CC4-5D6E-409C-BE32-E72D297353CC}">
                <c16:uniqueId val="{00000027-E2A1-4774-B98D-1E4F3022F708}"/>
              </c:ext>
            </c:extLst>
          </c:dPt>
          <c:dPt>
            <c:idx val="22"/>
            <c:invertIfNegative val="0"/>
            <c:bubble3D val="0"/>
            <c:spPr>
              <a:solidFill>
                <a:srgbClr val="F8F49E"/>
              </a:solidFill>
            </c:spPr>
            <c:extLst>
              <c:ext xmlns:c16="http://schemas.microsoft.com/office/drawing/2014/chart" uri="{C3380CC4-5D6E-409C-BE32-E72D297353CC}">
                <c16:uniqueId val="{00000029-E2A1-4774-B98D-1E4F3022F708}"/>
              </c:ext>
            </c:extLst>
          </c:dPt>
          <c:dPt>
            <c:idx val="23"/>
            <c:invertIfNegative val="0"/>
            <c:bubble3D val="0"/>
            <c:spPr>
              <a:solidFill>
                <a:srgbClr val="F8F49E"/>
              </a:solidFill>
            </c:spPr>
            <c:extLst>
              <c:ext xmlns:c16="http://schemas.microsoft.com/office/drawing/2014/chart" uri="{C3380CC4-5D6E-409C-BE32-E72D297353CC}">
                <c16:uniqueId val="{0000002B-E2A1-4774-B98D-1E4F3022F708}"/>
              </c:ext>
            </c:extLst>
          </c:dPt>
          <c:dPt>
            <c:idx val="2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2D-E2A1-4774-B98D-1E4F3022F708}"/>
              </c:ext>
            </c:extLst>
          </c:dPt>
          <c:dPt>
            <c:idx val="2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2F-E2A1-4774-B98D-1E4F3022F708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31-E2A1-4774-B98D-1E4F3022F708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31-7D64-47EB-B45D-9573B6E36EE4}"/>
              </c:ext>
            </c:extLst>
          </c:dPt>
          <c:dPt>
            <c:idx val="2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32-7D64-47EB-B45D-9573B6E36EE4}"/>
              </c:ext>
            </c:extLst>
          </c:dPt>
          <c:dPt>
            <c:idx val="29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33-7D64-47EB-B45D-9573B6E36EE4}"/>
              </c:ext>
            </c:extLst>
          </c:dPt>
          <c:cat>
            <c:strRef>
              <c:f>'Project Timeline'!$A$2:$A$31</c:f>
              <c:strCache>
                <c:ptCount val="30"/>
                <c:pt idx="0">
                  <c:v>Project Planning</c:v>
                </c:pt>
                <c:pt idx="1">
                  <c:v>Finalize goals and scope</c:v>
                </c:pt>
                <c:pt idx="2">
                  <c:v>Develop technical scenarios</c:v>
                </c:pt>
                <c:pt idx="3">
                  <c:v>Finalize timeline</c:v>
                </c:pt>
                <c:pt idx="4">
                  <c:v>Submit Phase 1 report</c:v>
                </c:pt>
                <c:pt idx="5">
                  <c:v>Resource Identification</c:v>
                </c:pt>
                <c:pt idx="6">
                  <c:v>Complete work breakdown structure</c:v>
                </c:pt>
                <c:pt idx="7">
                  <c:v>Submit Phase 2 report</c:v>
                </c:pt>
                <c:pt idx="8">
                  <c:v>Data Research and Review</c:v>
                </c:pt>
                <c:pt idx="9">
                  <c:v>Inventory of data sources</c:v>
                </c:pt>
                <c:pt idx="10">
                  <c:v>Develop crosswalks</c:v>
                </c:pt>
                <c:pt idx="11">
                  <c:v>Identify data quality issues</c:v>
                </c:pt>
                <c:pt idx="12">
                  <c:v>Data prep and cleanup</c:v>
                </c:pt>
                <c:pt idx="13">
                  <c:v>Run sample migrations</c:v>
                </c:pt>
                <c:pt idx="14">
                  <c:v>Submit Phase 3 report</c:v>
                </c:pt>
                <c:pt idx="15">
                  <c:v>Documentation</c:v>
                </c:pt>
                <c:pt idx="16">
                  <c:v>AS training for users</c:v>
                </c:pt>
                <c:pt idx="17">
                  <c:v>Develop local policy documentation</c:v>
                </c:pt>
                <c:pt idx="18">
                  <c:v>Testing</c:v>
                </c:pt>
                <c:pt idx="19">
                  <c:v>Run full migrations</c:v>
                </c:pt>
                <c:pt idx="20">
                  <c:v>Evaluate migration results</c:v>
                </c:pt>
                <c:pt idx="21">
                  <c:v>Peer website evaluation</c:v>
                </c:pt>
                <c:pt idx="22">
                  <c:v>Front-end system development</c:v>
                </c:pt>
                <c:pt idx="23">
                  <c:v>Submit Phase 4 report</c:v>
                </c:pt>
                <c:pt idx="24">
                  <c:v>Production</c:v>
                </c:pt>
                <c:pt idx="25">
                  <c:v>Set up production instance</c:v>
                </c:pt>
                <c:pt idx="26">
                  <c:v>Push migration</c:v>
                </c:pt>
                <c:pt idx="27">
                  <c:v>QA migration results</c:v>
                </c:pt>
                <c:pt idx="28">
                  <c:v>Further front-end development, if necessary. This became Fetch development.</c:v>
                </c:pt>
                <c:pt idx="29">
                  <c:v>Submit final report</c:v>
                </c:pt>
              </c:strCache>
            </c:strRef>
          </c:cat>
          <c:val>
            <c:numRef>
              <c:f>'Project Timeline'!$E$2:$E$31</c:f>
              <c:numCache>
                <c:formatCode>General</c:formatCode>
                <c:ptCount val="30"/>
                <c:pt idx="0">
                  <c:v>65</c:v>
                </c:pt>
                <c:pt idx="1">
                  <c:v>21</c:v>
                </c:pt>
                <c:pt idx="2">
                  <c:v>35</c:v>
                </c:pt>
                <c:pt idx="3">
                  <c:v>7</c:v>
                </c:pt>
                <c:pt idx="4">
                  <c:v>16</c:v>
                </c:pt>
                <c:pt idx="5">
                  <c:v>30</c:v>
                </c:pt>
                <c:pt idx="6">
                  <c:v>23</c:v>
                </c:pt>
                <c:pt idx="7">
                  <c:v>7</c:v>
                </c:pt>
                <c:pt idx="8">
                  <c:v>303</c:v>
                </c:pt>
                <c:pt idx="9">
                  <c:v>44</c:v>
                </c:pt>
                <c:pt idx="10">
                  <c:v>258</c:v>
                </c:pt>
                <c:pt idx="11">
                  <c:v>258</c:v>
                </c:pt>
                <c:pt idx="12">
                  <c:v>258</c:v>
                </c:pt>
                <c:pt idx="13">
                  <c:v>242</c:v>
                </c:pt>
                <c:pt idx="14">
                  <c:v>30</c:v>
                </c:pt>
                <c:pt idx="15">
                  <c:v>484</c:v>
                </c:pt>
                <c:pt idx="16">
                  <c:v>456</c:v>
                </c:pt>
                <c:pt idx="17">
                  <c:v>423</c:v>
                </c:pt>
                <c:pt idx="18">
                  <c:v>180</c:v>
                </c:pt>
                <c:pt idx="19">
                  <c:v>180</c:v>
                </c:pt>
                <c:pt idx="20">
                  <c:v>180</c:v>
                </c:pt>
                <c:pt idx="21">
                  <c:v>110</c:v>
                </c:pt>
                <c:pt idx="22">
                  <c:v>180</c:v>
                </c:pt>
                <c:pt idx="23">
                  <c:v>27</c:v>
                </c:pt>
                <c:pt idx="24">
                  <c:v>59</c:v>
                </c:pt>
                <c:pt idx="25">
                  <c:v>9</c:v>
                </c:pt>
                <c:pt idx="26">
                  <c:v>6</c:v>
                </c:pt>
                <c:pt idx="27">
                  <c:v>27</c:v>
                </c:pt>
                <c:pt idx="28">
                  <c:v>15</c:v>
                </c:pt>
                <c:pt idx="29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E2A1-4774-B98D-1E4F3022F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1"/>
        <c:overlap val="100"/>
        <c:axId val="-2090820632"/>
        <c:axId val="-2135357448"/>
      </c:barChart>
      <c:catAx>
        <c:axId val="-209082063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-2135357448"/>
        <c:crosses val="autoZero"/>
        <c:auto val="1"/>
        <c:lblAlgn val="ctr"/>
        <c:lblOffset val="100"/>
        <c:noMultiLvlLbl val="0"/>
      </c:catAx>
      <c:valAx>
        <c:axId val="-2135357448"/>
        <c:scaling>
          <c:orientation val="minMax"/>
          <c:min val="43301"/>
        </c:scaling>
        <c:delete val="0"/>
        <c:axPos val="t"/>
        <c:majorGridlines/>
        <c:numFmt formatCode="m/d/yy;@" sourceLinked="0"/>
        <c:majorTickMark val="out"/>
        <c:minorTickMark val="none"/>
        <c:tickLblPos val="nextTo"/>
        <c:crossAx val="-2090820632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97" workbookViewId="0" zoomToFit="1"/>
  </sheetViews>
  <pageMargins left="0.7" right="0.7" top="0.75" bottom="0.75" header="0.3" footer="0.3"/>
  <pageSetup orientation="landscape" r:id="rId1"/>
  <headerFooter>
    <oddHeader>&amp;CEast Carolina University Libraries ArchivesSpace Migration - Critical Path</oddHeader>
  </headerFooter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876" cy="629435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BE8F1E-DBBF-444D-988C-326855B809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G8" totalsRowShown="0" headerRowDxfId="7" headerRowCellStyle="Normal 2" dataCellStyle="Normal 2">
  <autoFilter ref="A1:G8" xr:uid="{00000000-0009-0000-0100-000001000000}"/>
  <tableColumns count="7">
    <tableColumn id="1" xr3:uid="{00000000-0010-0000-0000-000001000000}" name="Phase" dataDxfId="6" dataCellStyle="Normal 2"/>
    <tableColumn id="2" xr3:uid="{00000000-0010-0000-0000-000002000000}" name="Activity" dataDxfId="5" dataCellStyle="Normal 2"/>
    <tableColumn id="3" xr3:uid="{00000000-0010-0000-0000-000003000000}" name="Subtasks" dataDxfId="4" dataCellStyle="Normal 2"/>
    <tableColumn id="4" xr3:uid="{00000000-0010-0000-0000-000004000000}" name="Optimistic" dataDxfId="3" dataCellStyle="Normal 2"/>
    <tableColumn id="5" xr3:uid="{00000000-0010-0000-0000-000005000000}" name="Most Likely" dataDxfId="2" dataCellStyle="Normal 2"/>
    <tableColumn id="6" xr3:uid="{00000000-0010-0000-0000-000006000000}" name="Maximal" dataDxfId="1" dataCellStyle="Normal 2"/>
    <tableColumn id="7" xr3:uid="{00000000-0010-0000-0000-000007000000}" name="Notes" dataDxfId="0" dataCellStyle="Normal 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1:E13" totalsRowShown="0">
  <autoFilter ref="A1:E13" xr:uid="{00000000-0009-0000-0100-000002000000}"/>
  <tableColumns count="5">
    <tableColumn id="1" xr3:uid="{00000000-0010-0000-0100-000001000000}" name="Stakeholder"/>
    <tableColumn id="2" xr3:uid="{00000000-0010-0000-0100-000002000000}" name="Communications Method"/>
    <tableColumn id="3" xr3:uid="{00000000-0010-0000-0100-000003000000}" name="Frequency"/>
    <tableColumn id="4" xr3:uid="{00000000-0010-0000-0100-000004000000}" name="Responsibility"/>
    <tableColumn id="5" xr3:uid="{00000000-0010-0000-0100-000005000000}" name="Notes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32"/>
  <sheetViews>
    <sheetView tabSelected="1" zoomScaleNormal="100" workbookViewId="0">
      <pane ySplit="1" topLeftCell="A2" activePane="bottomLeft" state="frozen"/>
      <selection pane="bottomLeft" activeCell="G11" sqref="G11"/>
    </sheetView>
  </sheetViews>
  <sheetFormatPr defaultColWidth="11" defaultRowHeight="15.75" x14ac:dyDescent="0.25"/>
  <cols>
    <col min="1" max="1" width="19.875" customWidth="1"/>
    <col min="2" max="2" width="17" customWidth="1"/>
    <col min="3" max="3" width="11.875" customWidth="1"/>
    <col min="4" max="4" width="13.75" customWidth="1"/>
    <col min="5" max="8" width="12.875" customWidth="1"/>
    <col min="9" max="9" width="14.625" customWidth="1"/>
  </cols>
  <sheetData>
    <row r="1" spans="1:9" ht="32.1" customHeight="1" x14ac:dyDescent="0.25">
      <c r="A1" s="2" t="s">
        <v>0</v>
      </c>
      <c r="B1" s="2" t="s">
        <v>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2</v>
      </c>
    </row>
    <row r="2" spans="1:9" ht="23.1" customHeight="1" x14ac:dyDescent="0.25">
      <c r="A2" s="12" t="s">
        <v>3</v>
      </c>
      <c r="B2" s="12" t="s">
        <v>4</v>
      </c>
      <c r="C2" s="63">
        <f>C3</f>
        <v>43308</v>
      </c>
      <c r="D2" s="63">
        <f>D6</f>
        <v>43373</v>
      </c>
      <c r="E2" s="12">
        <f>D2-C2</f>
        <v>65</v>
      </c>
      <c r="F2" s="63">
        <f>F3</f>
        <v>43308</v>
      </c>
      <c r="G2" s="63">
        <f>G6</f>
        <v>43342</v>
      </c>
      <c r="H2" s="12">
        <f>G2-F2</f>
        <v>34</v>
      </c>
      <c r="I2" s="12" t="s">
        <v>91</v>
      </c>
    </row>
    <row r="3" spans="1:9" ht="31.5" x14ac:dyDescent="0.25">
      <c r="A3" s="3" t="s">
        <v>5</v>
      </c>
      <c r="B3" s="3" t="s">
        <v>9</v>
      </c>
      <c r="C3" s="39">
        <v>43308</v>
      </c>
      <c r="D3" s="39">
        <v>43329</v>
      </c>
      <c r="E3" s="3">
        <f t="shared" ref="E3:E19" si="0">D3-C3</f>
        <v>21</v>
      </c>
      <c r="F3" s="39">
        <v>43308</v>
      </c>
      <c r="G3" s="39">
        <v>43325</v>
      </c>
      <c r="H3" s="3">
        <f>G3-F3</f>
        <v>17</v>
      </c>
      <c r="I3" s="3" t="s">
        <v>91</v>
      </c>
    </row>
    <row r="4" spans="1:9" ht="31.5" x14ac:dyDescent="0.25">
      <c r="A4" s="3" t="s">
        <v>7</v>
      </c>
      <c r="B4" s="3" t="s">
        <v>9</v>
      </c>
      <c r="C4" s="39">
        <v>43315</v>
      </c>
      <c r="D4" s="39">
        <v>43350</v>
      </c>
      <c r="E4" s="3">
        <f t="shared" si="0"/>
        <v>35</v>
      </c>
      <c r="F4" s="39">
        <v>43314</v>
      </c>
      <c r="G4" s="39">
        <v>43335</v>
      </c>
      <c r="H4" s="3">
        <f t="shared" ref="H4:H6" si="1">G4-F4</f>
        <v>21</v>
      </c>
      <c r="I4" s="3" t="s">
        <v>91</v>
      </c>
    </row>
    <row r="5" spans="1:9" x14ac:dyDescent="0.25">
      <c r="A5" s="3" t="s">
        <v>8</v>
      </c>
      <c r="B5" s="3" t="s">
        <v>9</v>
      </c>
      <c r="C5" s="39">
        <v>43350</v>
      </c>
      <c r="D5" s="39">
        <v>43357</v>
      </c>
      <c r="E5" s="3">
        <f t="shared" si="0"/>
        <v>7</v>
      </c>
      <c r="F5" s="39">
        <v>43308</v>
      </c>
      <c r="G5" s="39">
        <v>43335</v>
      </c>
      <c r="H5" s="3">
        <f t="shared" si="1"/>
        <v>27</v>
      </c>
      <c r="I5" s="3" t="s">
        <v>91</v>
      </c>
    </row>
    <row r="6" spans="1:9" ht="23.1" customHeight="1" x14ac:dyDescent="0.25">
      <c r="A6" s="8" t="s">
        <v>12</v>
      </c>
      <c r="B6" s="6" t="s">
        <v>6</v>
      </c>
      <c r="C6" s="39">
        <v>43357</v>
      </c>
      <c r="D6" s="39">
        <v>43373</v>
      </c>
      <c r="E6" s="3">
        <f t="shared" si="0"/>
        <v>16</v>
      </c>
      <c r="F6" s="39">
        <v>43335</v>
      </c>
      <c r="G6" s="39">
        <v>43342</v>
      </c>
      <c r="H6" s="3">
        <f t="shared" si="1"/>
        <v>7</v>
      </c>
      <c r="I6" s="3" t="s">
        <v>91</v>
      </c>
    </row>
    <row r="7" spans="1:9" ht="37.5" x14ac:dyDescent="0.3">
      <c r="A7" s="18" t="s">
        <v>10</v>
      </c>
      <c r="B7" s="19" t="s">
        <v>4</v>
      </c>
      <c r="C7" s="64">
        <f>C8</f>
        <v>43374</v>
      </c>
      <c r="D7" s="64">
        <f>D9</f>
        <v>43404</v>
      </c>
      <c r="E7" s="19">
        <f t="shared" si="0"/>
        <v>30</v>
      </c>
      <c r="F7" s="64">
        <f>F8</f>
        <v>43342</v>
      </c>
      <c r="G7" s="64">
        <f>G9</f>
        <v>43370</v>
      </c>
      <c r="H7" s="19">
        <f t="shared" ref="H7:H31" si="2">G7-F7</f>
        <v>28</v>
      </c>
      <c r="I7" s="55" t="s">
        <v>91</v>
      </c>
    </row>
    <row r="8" spans="1:9" ht="31.5" x14ac:dyDescent="0.25">
      <c r="A8" s="7" t="s">
        <v>11</v>
      </c>
      <c r="B8" s="4" t="s">
        <v>9</v>
      </c>
      <c r="C8" s="40">
        <v>43374</v>
      </c>
      <c r="D8" s="40">
        <v>43397</v>
      </c>
      <c r="E8" s="4">
        <f t="shared" si="0"/>
        <v>23</v>
      </c>
      <c r="F8" s="40">
        <v>43342</v>
      </c>
      <c r="G8" s="40">
        <v>43370</v>
      </c>
      <c r="H8" s="4">
        <f t="shared" si="2"/>
        <v>28</v>
      </c>
      <c r="I8" s="4" t="s">
        <v>91</v>
      </c>
    </row>
    <row r="9" spans="1:9" x14ac:dyDescent="0.25">
      <c r="A9" s="4" t="s">
        <v>13</v>
      </c>
      <c r="B9" s="4" t="s">
        <v>6</v>
      </c>
      <c r="C9" s="40">
        <v>43397</v>
      </c>
      <c r="D9" s="40">
        <v>43404</v>
      </c>
      <c r="E9" s="4">
        <f t="shared" si="0"/>
        <v>7</v>
      </c>
      <c r="F9" s="40">
        <v>43342</v>
      </c>
      <c r="G9" s="40">
        <v>43370</v>
      </c>
      <c r="H9" s="4">
        <f t="shared" si="2"/>
        <v>28</v>
      </c>
      <c r="I9" s="4" t="s">
        <v>91</v>
      </c>
    </row>
    <row r="10" spans="1:9" ht="37.5" x14ac:dyDescent="0.3">
      <c r="A10" s="9" t="s">
        <v>14</v>
      </c>
      <c r="B10" s="5" t="s">
        <v>98</v>
      </c>
      <c r="C10" s="65">
        <f>C11</f>
        <v>43405</v>
      </c>
      <c r="D10" s="65">
        <f>D16</f>
        <v>43708</v>
      </c>
      <c r="E10" s="5">
        <f t="shared" si="0"/>
        <v>303</v>
      </c>
      <c r="F10" s="65">
        <f>F11</f>
        <v>43377</v>
      </c>
      <c r="G10" s="65">
        <f>G16</f>
        <v>43623</v>
      </c>
      <c r="H10" s="56">
        <f t="shared" si="2"/>
        <v>246</v>
      </c>
      <c r="I10" s="5" t="s">
        <v>91</v>
      </c>
    </row>
    <row r="11" spans="1:9" ht="31.5" x14ac:dyDescent="0.25">
      <c r="A11" s="7" t="s">
        <v>15</v>
      </c>
      <c r="B11" s="4" t="s">
        <v>98</v>
      </c>
      <c r="C11" s="40">
        <v>43405</v>
      </c>
      <c r="D11" s="40">
        <v>43449</v>
      </c>
      <c r="E11" s="4">
        <f t="shared" si="0"/>
        <v>44</v>
      </c>
      <c r="F11" s="40">
        <v>43377</v>
      </c>
      <c r="G11" s="40">
        <v>43410</v>
      </c>
      <c r="H11" s="4">
        <f t="shared" si="2"/>
        <v>33</v>
      </c>
      <c r="I11" s="4" t="s">
        <v>91</v>
      </c>
    </row>
    <row r="12" spans="1:9" ht="23.1" customHeight="1" x14ac:dyDescent="0.25">
      <c r="A12" s="4" t="s">
        <v>16</v>
      </c>
      <c r="B12" s="4" t="s">
        <v>30</v>
      </c>
      <c r="C12" s="40">
        <v>43450</v>
      </c>
      <c r="D12" s="40">
        <v>43708</v>
      </c>
      <c r="E12" s="4">
        <f t="shared" si="0"/>
        <v>258</v>
      </c>
      <c r="F12" s="40">
        <v>43405</v>
      </c>
      <c r="G12" s="40">
        <v>43447</v>
      </c>
      <c r="H12" s="4">
        <f t="shared" si="2"/>
        <v>42</v>
      </c>
      <c r="I12" s="4" t="s">
        <v>91</v>
      </c>
    </row>
    <row r="13" spans="1:9" ht="31.5" x14ac:dyDescent="0.25">
      <c r="A13" s="7" t="s">
        <v>17</v>
      </c>
      <c r="B13" s="4" t="s">
        <v>98</v>
      </c>
      <c r="C13" s="40">
        <v>43450</v>
      </c>
      <c r="D13" s="40">
        <v>43708</v>
      </c>
      <c r="E13" s="4">
        <f t="shared" si="0"/>
        <v>258</v>
      </c>
      <c r="F13" s="40">
        <v>43431</v>
      </c>
      <c r="G13" s="40">
        <v>43525</v>
      </c>
      <c r="H13" s="4">
        <f t="shared" si="2"/>
        <v>94</v>
      </c>
      <c r="I13" s="4" t="s">
        <v>91</v>
      </c>
    </row>
    <row r="14" spans="1:9" x14ac:dyDescent="0.25">
      <c r="A14" s="7" t="s">
        <v>18</v>
      </c>
      <c r="B14" s="4" t="s">
        <v>98</v>
      </c>
      <c r="C14" s="40">
        <v>43450</v>
      </c>
      <c r="D14" s="40">
        <v>43708</v>
      </c>
      <c r="E14" s="4">
        <f t="shared" si="0"/>
        <v>258</v>
      </c>
      <c r="F14" s="40">
        <v>43431</v>
      </c>
      <c r="G14" s="40">
        <v>43601</v>
      </c>
      <c r="H14" s="4">
        <f t="shared" si="2"/>
        <v>170</v>
      </c>
      <c r="I14" s="4" t="s">
        <v>91</v>
      </c>
    </row>
    <row r="15" spans="1:9" ht="23.1" customHeight="1" x14ac:dyDescent="0.25">
      <c r="A15" s="4" t="s">
        <v>19</v>
      </c>
      <c r="B15" s="4" t="s">
        <v>30</v>
      </c>
      <c r="C15" s="40">
        <v>43466</v>
      </c>
      <c r="D15" s="40">
        <v>43708</v>
      </c>
      <c r="E15" s="4">
        <f t="shared" si="0"/>
        <v>242</v>
      </c>
      <c r="F15" s="40">
        <v>43405</v>
      </c>
      <c r="G15" s="40">
        <v>43585</v>
      </c>
      <c r="H15" s="4">
        <f t="shared" si="2"/>
        <v>180</v>
      </c>
      <c r="I15" s="4" t="s">
        <v>91</v>
      </c>
    </row>
    <row r="16" spans="1:9" ht="23.1" customHeight="1" x14ac:dyDescent="0.25">
      <c r="A16" s="4" t="s">
        <v>20</v>
      </c>
      <c r="B16" s="4" t="s">
        <v>6</v>
      </c>
      <c r="C16" s="40">
        <v>43678</v>
      </c>
      <c r="D16" s="40">
        <v>43708</v>
      </c>
      <c r="E16" s="4">
        <f t="shared" si="0"/>
        <v>30</v>
      </c>
      <c r="F16" s="40">
        <v>43619</v>
      </c>
      <c r="G16" s="40">
        <v>43623</v>
      </c>
      <c r="H16" s="4">
        <f t="shared" si="2"/>
        <v>4</v>
      </c>
      <c r="I16" s="4" t="s">
        <v>91</v>
      </c>
    </row>
    <row r="17" spans="1:9" ht="23.1" customHeight="1" x14ac:dyDescent="0.3">
      <c r="A17" s="16" t="s">
        <v>24</v>
      </c>
      <c r="B17" s="16" t="s">
        <v>98</v>
      </c>
      <c r="C17" s="17">
        <f>C18</f>
        <v>43405</v>
      </c>
      <c r="D17" s="17">
        <f>D19</f>
        <v>43889</v>
      </c>
      <c r="E17" s="16">
        <f t="shared" si="0"/>
        <v>484</v>
      </c>
      <c r="F17" s="17">
        <v>43567</v>
      </c>
      <c r="G17" s="17">
        <v>43707</v>
      </c>
      <c r="H17" s="16">
        <f t="shared" si="2"/>
        <v>140</v>
      </c>
      <c r="I17" s="16" t="s">
        <v>91</v>
      </c>
    </row>
    <row r="18" spans="1:9" x14ac:dyDescent="0.25">
      <c r="A18" s="7" t="s">
        <v>22</v>
      </c>
      <c r="B18" s="4" t="s">
        <v>6</v>
      </c>
      <c r="C18" s="40">
        <v>43405</v>
      </c>
      <c r="D18" s="40">
        <v>43861</v>
      </c>
      <c r="E18" s="4">
        <f t="shared" si="0"/>
        <v>456</v>
      </c>
      <c r="F18" s="40">
        <v>43567</v>
      </c>
      <c r="G18" s="40">
        <v>43666</v>
      </c>
      <c r="H18" s="4">
        <f t="shared" si="2"/>
        <v>99</v>
      </c>
      <c r="I18" s="4" t="s">
        <v>91</v>
      </c>
    </row>
    <row r="19" spans="1:9" ht="31.5" x14ac:dyDescent="0.25">
      <c r="A19" s="7" t="s">
        <v>23</v>
      </c>
      <c r="B19" s="4" t="s">
        <v>98</v>
      </c>
      <c r="C19" s="40">
        <v>43466</v>
      </c>
      <c r="D19" s="40">
        <v>43889</v>
      </c>
      <c r="E19" s="4">
        <f t="shared" si="0"/>
        <v>423</v>
      </c>
      <c r="F19" s="40">
        <v>43619</v>
      </c>
      <c r="G19" s="40">
        <v>43707</v>
      </c>
      <c r="H19" s="4">
        <f t="shared" si="2"/>
        <v>88</v>
      </c>
      <c r="I19" s="4" t="s">
        <v>91</v>
      </c>
    </row>
    <row r="20" spans="1:9" ht="18.75" x14ac:dyDescent="0.3">
      <c r="A20" s="13" t="s">
        <v>21</v>
      </c>
      <c r="B20" s="15" t="s">
        <v>98</v>
      </c>
      <c r="C20" s="14">
        <f>C21</f>
        <v>43709</v>
      </c>
      <c r="D20" s="14">
        <f>D21</f>
        <v>43889</v>
      </c>
      <c r="E20" s="15">
        <f t="shared" ref="E20:E30" si="3">D20-C20</f>
        <v>180</v>
      </c>
      <c r="F20" s="14">
        <v>43617</v>
      </c>
      <c r="G20" s="14">
        <v>43755</v>
      </c>
      <c r="H20" s="15">
        <f t="shared" si="2"/>
        <v>138</v>
      </c>
      <c r="I20" s="15" t="s">
        <v>91</v>
      </c>
    </row>
    <row r="21" spans="1:9" x14ac:dyDescent="0.25">
      <c r="A21" s="7" t="s">
        <v>25</v>
      </c>
      <c r="B21" s="4" t="s">
        <v>30</v>
      </c>
      <c r="C21" s="40">
        <v>43709</v>
      </c>
      <c r="D21" s="40">
        <v>43889</v>
      </c>
      <c r="E21" s="4">
        <f t="shared" si="3"/>
        <v>180</v>
      </c>
      <c r="F21" s="40">
        <v>43617</v>
      </c>
      <c r="G21" s="40">
        <v>43648</v>
      </c>
      <c r="H21" s="4">
        <f t="shared" si="2"/>
        <v>31</v>
      </c>
      <c r="I21" s="4" t="s">
        <v>91</v>
      </c>
    </row>
    <row r="22" spans="1:9" ht="31.5" x14ac:dyDescent="0.25">
      <c r="A22" s="7" t="s">
        <v>26</v>
      </c>
      <c r="B22" s="4" t="s">
        <v>98</v>
      </c>
      <c r="C22" s="40">
        <v>43709</v>
      </c>
      <c r="D22" s="40">
        <v>43889</v>
      </c>
      <c r="E22" s="4">
        <f t="shared" si="3"/>
        <v>180</v>
      </c>
      <c r="F22" s="40">
        <v>43648</v>
      </c>
      <c r="G22" s="40">
        <v>43721</v>
      </c>
      <c r="H22" s="4">
        <f t="shared" si="2"/>
        <v>73</v>
      </c>
      <c r="I22" s="4" t="s">
        <v>91</v>
      </c>
    </row>
    <row r="23" spans="1:9" ht="31.5" x14ac:dyDescent="0.25">
      <c r="A23" s="7" t="s">
        <v>83</v>
      </c>
      <c r="B23" s="7" t="s">
        <v>99</v>
      </c>
      <c r="C23" s="40">
        <v>43709</v>
      </c>
      <c r="D23" s="40">
        <v>43819</v>
      </c>
      <c r="E23" s="4">
        <f t="shared" si="3"/>
        <v>110</v>
      </c>
      <c r="F23" s="40">
        <v>43620</v>
      </c>
      <c r="G23" s="40">
        <v>43739</v>
      </c>
      <c r="H23" s="4">
        <f t="shared" si="2"/>
        <v>119</v>
      </c>
      <c r="I23" s="4" t="s">
        <v>91</v>
      </c>
    </row>
    <row r="24" spans="1:9" ht="31.5" x14ac:dyDescent="0.25">
      <c r="A24" s="7" t="s">
        <v>82</v>
      </c>
      <c r="B24" s="4" t="s">
        <v>30</v>
      </c>
      <c r="C24" s="40">
        <v>43709</v>
      </c>
      <c r="D24" s="40">
        <v>43889</v>
      </c>
      <c r="E24" s="4">
        <f t="shared" si="3"/>
        <v>180</v>
      </c>
      <c r="F24" s="40">
        <v>43544</v>
      </c>
      <c r="G24" s="40">
        <v>43830</v>
      </c>
      <c r="H24" s="4">
        <f t="shared" si="2"/>
        <v>286</v>
      </c>
      <c r="I24" s="4" t="s">
        <v>91</v>
      </c>
    </row>
    <row r="25" spans="1:9" x14ac:dyDescent="0.25">
      <c r="A25" s="7" t="s">
        <v>27</v>
      </c>
      <c r="B25" s="4" t="s">
        <v>6</v>
      </c>
      <c r="C25" s="40">
        <v>43862</v>
      </c>
      <c r="D25" s="40">
        <v>43889</v>
      </c>
      <c r="E25" s="4">
        <f t="shared" si="3"/>
        <v>27</v>
      </c>
      <c r="F25" s="40">
        <v>43752</v>
      </c>
      <c r="G25" s="40">
        <v>43755</v>
      </c>
      <c r="H25" s="4">
        <f t="shared" si="2"/>
        <v>3</v>
      </c>
      <c r="I25" s="4" t="s">
        <v>91</v>
      </c>
    </row>
    <row r="26" spans="1:9" ht="18.75" x14ac:dyDescent="0.3">
      <c r="A26" s="10" t="s">
        <v>28</v>
      </c>
      <c r="B26" s="58" t="s">
        <v>98</v>
      </c>
      <c r="C26" s="20">
        <f>C27</f>
        <v>43892</v>
      </c>
      <c r="D26" s="20">
        <f>D31</f>
        <v>43951</v>
      </c>
      <c r="E26" s="11">
        <f t="shared" si="3"/>
        <v>59</v>
      </c>
      <c r="F26" s="57">
        <v>43617</v>
      </c>
      <c r="G26" s="57">
        <v>43858</v>
      </c>
      <c r="H26" s="11">
        <f t="shared" si="2"/>
        <v>241</v>
      </c>
      <c r="I26" s="58" t="s">
        <v>91</v>
      </c>
    </row>
    <row r="27" spans="1:9" ht="31.5" x14ac:dyDescent="0.25">
      <c r="A27" s="21" t="s">
        <v>29</v>
      </c>
      <c r="B27" s="22" t="s">
        <v>30</v>
      </c>
      <c r="C27" s="41">
        <v>43892</v>
      </c>
      <c r="D27" s="41">
        <v>43901</v>
      </c>
      <c r="E27" s="22">
        <f t="shared" si="3"/>
        <v>9</v>
      </c>
      <c r="F27" s="41">
        <v>43617</v>
      </c>
      <c r="G27" s="41">
        <v>43648</v>
      </c>
      <c r="H27" s="4">
        <f t="shared" si="2"/>
        <v>31</v>
      </c>
      <c r="I27" s="22" t="s">
        <v>91</v>
      </c>
    </row>
    <row r="28" spans="1:9" x14ac:dyDescent="0.25">
      <c r="A28" s="21" t="s">
        <v>31</v>
      </c>
      <c r="B28" s="22" t="s">
        <v>30</v>
      </c>
      <c r="C28" s="41">
        <v>43902</v>
      </c>
      <c r="D28" s="41">
        <v>43908</v>
      </c>
      <c r="E28" s="22">
        <f t="shared" si="3"/>
        <v>6</v>
      </c>
      <c r="F28" s="41">
        <v>43617</v>
      </c>
      <c r="G28" s="41">
        <v>43648</v>
      </c>
      <c r="H28" s="4">
        <f t="shared" si="2"/>
        <v>31</v>
      </c>
      <c r="I28" s="22" t="s">
        <v>91</v>
      </c>
    </row>
    <row r="29" spans="1:9" x14ac:dyDescent="0.25">
      <c r="A29" s="21" t="s">
        <v>32</v>
      </c>
      <c r="B29" s="22" t="s">
        <v>98</v>
      </c>
      <c r="C29" s="41">
        <v>43909</v>
      </c>
      <c r="D29" s="41">
        <v>43936</v>
      </c>
      <c r="E29" s="22">
        <f t="shared" si="3"/>
        <v>27</v>
      </c>
      <c r="F29" s="41">
        <v>43648</v>
      </c>
      <c r="G29" s="41">
        <v>43770</v>
      </c>
      <c r="H29" s="4">
        <f t="shared" si="2"/>
        <v>122</v>
      </c>
      <c r="I29" s="22" t="s">
        <v>91</v>
      </c>
    </row>
    <row r="30" spans="1:9" ht="78.75" x14ac:dyDescent="0.25">
      <c r="A30" s="21" t="s">
        <v>100</v>
      </c>
      <c r="B30" s="22" t="s">
        <v>30</v>
      </c>
      <c r="C30" s="41">
        <v>43936</v>
      </c>
      <c r="D30" s="41">
        <v>43951</v>
      </c>
      <c r="E30" s="22">
        <f t="shared" si="3"/>
        <v>15</v>
      </c>
      <c r="F30" s="41">
        <v>43742</v>
      </c>
      <c r="G30" s="41">
        <v>43819</v>
      </c>
      <c r="H30" s="4">
        <f t="shared" si="2"/>
        <v>77</v>
      </c>
      <c r="I30" s="22" t="s">
        <v>91</v>
      </c>
    </row>
    <row r="31" spans="1:9" x14ac:dyDescent="0.25">
      <c r="A31" s="7" t="s">
        <v>33</v>
      </c>
      <c r="B31" s="4" t="s">
        <v>6</v>
      </c>
      <c r="C31" s="40">
        <v>43922</v>
      </c>
      <c r="D31" s="40">
        <v>43951</v>
      </c>
      <c r="E31" s="4">
        <f>D31-C31</f>
        <v>29</v>
      </c>
      <c r="F31" s="40">
        <v>43849</v>
      </c>
      <c r="G31" s="40">
        <v>43858</v>
      </c>
      <c r="H31" s="4">
        <f t="shared" si="2"/>
        <v>9</v>
      </c>
      <c r="I31" s="4" t="s">
        <v>91</v>
      </c>
    </row>
    <row r="32" spans="1:9" ht="18.75" x14ac:dyDescent="0.3">
      <c r="A32" s="59" t="s">
        <v>101</v>
      </c>
      <c r="B32" s="60"/>
      <c r="C32" s="61">
        <f>C2</f>
        <v>43308</v>
      </c>
      <c r="D32" s="61">
        <f>D26</f>
        <v>43951</v>
      </c>
      <c r="E32" s="62">
        <f t="shared" ref="E32" si="4">D32-C32</f>
        <v>643</v>
      </c>
      <c r="F32" s="61">
        <f>F2</f>
        <v>43308</v>
      </c>
      <c r="G32" s="61">
        <f>G26</f>
        <v>43858</v>
      </c>
      <c r="H32" s="62">
        <f t="shared" ref="H32" si="5">G32-F32</f>
        <v>550</v>
      </c>
      <c r="I32" s="60" t="s">
        <v>91</v>
      </c>
    </row>
  </sheetData>
  <phoneticPr fontId="5" type="noConversion"/>
  <printOptions horizontalCentered="1" verticalCentered="1"/>
  <pageMargins left="0.25" right="0.25" top="0.75" bottom="0.75" header="0.3" footer="0.3"/>
  <pageSetup scale="97" fitToHeight="0" orientation="landscape" r:id="rId1"/>
  <headerFooter>
    <oddHeader xml:space="preserve">&amp;C  </oddHeader>
    <oddFooter>&amp;CEast Carolina University Libraries ArchivesSpace Migration - Project Timeline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"/>
  <sheetViews>
    <sheetView view="pageLayout" zoomScaleNormal="100" workbookViewId="0">
      <selection activeCell="G10" sqref="G10"/>
    </sheetView>
  </sheetViews>
  <sheetFormatPr defaultColWidth="9" defaultRowHeight="15" x14ac:dyDescent="0.25"/>
  <cols>
    <col min="1" max="1" width="7.375" style="23" customWidth="1"/>
    <col min="2" max="2" width="14" style="23" customWidth="1"/>
    <col min="3" max="3" width="22.125" style="24" customWidth="1"/>
    <col min="4" max="4" width="10.75" style="23" customWidth="1"/>
    <col min="5" max="5" width="11.625" style="23" customWidth="1"/>
    <col min="6" max="6" width="11" style="23" customWidth="1"/>
    <col min="7" max="7" width="40.375" style="24" customWidth="1"/>
    <col min="8" max="16384" width="9" style="23"/>
  </cols>
  <sheetData>
    <row r="1" spans="1:7" x14ac:dyDescent="0.25">
      <c r="A1" s="25" t="s">
        <v>34</v>
      </c>
      <c r="B1" s="25" t="s">
        <v>35</v>
      </c>
      <c r="C1" s="26" t="s">
        <v>36</v>
      </c>
      <c r="D1" s="25" t="s">
        <v>37</v>
      </c>
      <c r="E1" s="25" t="s">
        <v>38</v>
      </c>
      <c r="F1" s="25" t="s">
        <v>39</v>
      </c>
      <c r="G1" s="26" t="s">
        <v>40</v>
      </c>
    </row>
    <row r="2" spans="1:7" ht="45" x14ac:dyDescent="0.25">
      <c r="A2" s="27">
        <v>1</v>
      </c>
      <c r="B2" s="28" t="s">
        <v>3</v>
      </c>
      <c r="C2" s="28" t="s">
        <v>41</v>
      </c>
      <c r="D2" s="27">
        <v>40</v>
      </c>
      <c r="E2" s="27">
        <v>65</v>
      </c>
      <c r="F2" s="27">
        <v>79</v>
      </c>
      <c r="G2" s="28" t="s">
        <v>42</v>
      </c>
    </row>
    <row r="3" spans="1:7" ht="60" x14ac:dyDescent="0.25">
      <c r="A3" s="27">
        <v>2</v>
      </c>
      <c r="B3" s="28" t="s">
        <v>10</v>
      </c>
      <c r="C3" s="28" t="s">
        <v>51</v>
      </c>
      <c r="D3" s="27">
        <v>21</v>
      </c>
      <c r="E3" s="27">
        <v>30</v>
      </c>
      <c r="F3" s="27">
        <v>35</v>
      </c>
      <c r="G3" s="28" t="s">
        <v>50</v>
      </c>
    </row>
    <row r="4" spans="1:7" ht="120" x14ac:dyDescent="0.25">
      <c r="A4" s="27">
        <v>3</v>
      </c>
      <c r="B4" s="35" t="s">
        <v>14</v>
      </c>
      <c r="C4" s="28" t="s">
        <v>43</v>
      </c>
      <c r="D4" s="27">
        <v>243</v>
      </c>
      <c r="E4" s="27">
        <v>303</v>
      </c>
      <c r="F4" s="27">
        <v>363</v>
      </c>
      <c r="G4" s="28" t="s">
        <v>44</v>
      </c>
    </row>
    <row r="5" spans="1:7" ht="75" x14ac:dyDescent="0.25">
      <c r="A5" s="27">
        <v>4</v>
      </c>
      <c r="B5" s="28" t="s">
        <v>21</v>
      </c>
      <c r="C5" s="28" t="s">
        <v>45</v>
      </c>
      <c r="D5" s="27">
        <v>120</v>
      </c>
      <c r="E5" s="27">
        <v>180</v>
      </c>
      <c r="F5" s="27">
        <v>210</v>
      </c>
      <c r="G5" s="28" t="s">
        <v>46</v>
      </c>
    </row>
    <row r="6" spans="1:7" ht="60" x14ac:dyDescent="0.25">
      <c r="A6" s="27">
        <v>5</v>
      </c>
      <c r="B6" s="28" t="s">
        <v>28</v>
      </c>
      <c r="C6" s="28" t="s">
        <v>47</v>
      </c>
      <c r="D6" s="27">
        <v>45</v>
      </c>
      <c r="E6" s="27">
        <v>59</v>
      </c>
      <c r="F6" s="27">
        <v>90</v>
      </c>
      <c r="G6" s="28" t="s">
        <v>48</v>
      </c>
    </row>
    <row r="7" spans="1:7" ht="15.75" x14ac:dyDescent="0.25">
      <c r="A7" s="27"/>
      <c r="B7" s="29" t="s">
        <v>49</v>
      </c>
      <c r="C7" s="28"/>
      <c r="D7" s="30">
        <f>SUM(D2:D6)</f>
        <v>469</v>
      </c>
      <c r="E7" s="30">
        <f>SUM(E2:E6)</f>
        <v>637</v>
      </c>
      <c r="F7" s="30">
        <f>SUM(F2:F6)</f>
        <v>777</v>
      </c>
      <c r="G7" s="28"/>
    </row>
    <row r="8" spans="1:7" x14ac:dyDescent="0.25">
      <c r="A8" s="27"/>
      <c r="B8" s="27"/>
      <c r="C8" s="28"/>
      <c r="D8" s="31">
        <v>43776</v>
      </c>
      <c r="E8" s="31">
        <v>43944</v>
      </c>
      <c r="F8" s="31">
        <v>44084</v>
      </c>
      <c r="G8" s="28"/>
    </row>
    <row r="10" spans="1:7" x14ac:dyDescent="0.25">
      <c r="C10" s="25" t="s">
        <v>84</v>
      </c>
    </row>
  </sheetData>
  <printOptions horizontalCentered="1" verticalCentered="1"/>
  <pageMargins left="0.25" right="0.25" top="0.75" bottom="0.75" header="0.3" footer="0.3"/>
  <pageSetup orientation="landscape" r:id="rId1"/>
  <headerFooter>
    <oddHeader>&amp;CEast Carolina University Libraries ArchivesSpace Migration - Three Point Analysis</oddHead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2"/>
  <sheetViews>
    <sheetView view="pageLayout" zoomScaleNormal="100" workbookViewId="0">
      <selection activeCell="B11" sqref="B11"/>
    </sheetView>
  </sheetViews>
  <sheetFormatPr defaultRowHeight="15.75" x14ac:dyDescent="0.25"/>
  <cols>
    <col min="1" max="1" width="18.625" customWidth="1"/>
    <col min="2" max="2" width="27" customWidth="1"/>
    <col min="3" max="3" width="24.625" customWidth="1"/>
    <col min="4" max="4" width="14.75" customWidth="1"/>
    <col min="5" max="5" width="35.625" customWidth="1"/>
  </cols>
  <sheetData>
    <row r="1" spans="1:5" x14ac:dyDescent="0.25">
      <c r="A1" t="s">
        <v>52</v>
      </c>
      <c r="B1" t="s">
        <v>53</v>
      </c>
      <c r="C1" t="s">
        <v>54</v>
      </c>
      <c r="D1" t="s">
        <v>55</v>
      </c>
      <c r="E1" t="s">
        <v>40</v>
      </c>
    </row>
    <row r="2" spans="1:5" x14ac:dyDescent="0.25">
      <c r="A2" s="1" t="s">
        <v>56</v>
      </c>
      <c r="B2" s="1" t="s">
        <v>57</v>
      </c>
      <c r="C2" s="1" t="s">
        <v>58</v>
      </c>
      <c r="D2" s="1" t="s">
        <v>60</v>
      </c>
      <c r="E2" s="1"/>
    </row>
    <row r="3" spans="1:5" ht="48" thickBot="1" x14ac:dyDescent="0.3">
      <c r="A3" s="32"/>
      <c r="B3" s="32" t="s">
        <v>66</v>
      </c>
      <c r="C3" s="33" t="s">
        <v>67</v>
      </c>
      <c r="D3" s="32" t="s">
        <v>60</v>
      </c>
      <c r="E3" s="32"/>
    </row>
    <row r="4" spans="1:5" x14ac:dyDescent="0.25">
      <c r="A4" s="36" t="s">
        <v>4</v>
      </c>
      <c r="B4" s="36" t="s">
        <v>59</v>
      </c>
      <c r="C4" s="36" t="s">
        <v>86</v>
      </c>
      <c r="D4" s="36" t="s">
        <v>60</v>
      </c>
      <c r="E4" s="36"/>
    </row>
    <row r="5" spans="1:5" ht="32.25" thickBot="1" x14ac:dyDescent="0.3">
      <c r="A5" s="37"/>
      <c r="B5" s="37" t="s">
        <v>24</v>
      </c>
      <c r="C5" s="37"/>
      <c r="D5" s="37" t="s">
        <v>60</v>
      </c>
      <c r="E5" s="38" t="s">
        <v>87</v>
      </c>
    </row>
    <row r="6" spans="1:5" x14ac:dyDescent="0.25">
      <c r="A6" s="1" t="s">
        <v>75</v>
      </c>
      <c r="B6" s="1" t="s">
        <v>59</v>
      </c>
      <c r="C6" s="1" t="s">
        <v>76</v>
      </c>
      <c r="D6" s="1" t="s">
        <v>77</v>
      </c>
      <c r="E6" s="1"/>
    </row>
    <row r="7" spans="1:5" ht="32.25" thickBot="1" x14ac:dyDescent="0.3">
      <c r="A7" s="32"/>
      <c r="B7" s="32" t="s">
        <v>24</v>
      </c>
      <c r="C7" s="32"/>
      <c r="D7" s="32" t="s">
        <v>77</v>
      </c>
      <c r="E7" s="33" t="s">
        <v>78</v>
      </c>
    </row>
    <row r="8" spans="1:5" ht="63" x14ac:dyDescent="0.25">
      <c r="A8" s="47" t="s">
        <v>69</v>
      </c>
      <c r="B8" s="47" t="s">
        <v>70</v>
      </c>
      <c r="C8" s="48" t="s">
        <v>71</v>
      </c>
      <c r="D8" s="48" t="s">
        <v>72</v>
      </c>
      <c r="E8" s="48" t="s">
        <v>73</v>
      </c>
    </row>
    <row r="9" spans="1:5" ht="63" x14ac:dyDescent="0.25">
      <c r="A9" s="34" t="s">
        <v>61</v>
      </c>
      <c r="B9" s="53" t="s">
        <v>79</v>
      </c>
      <c r="C9" s="50" t="s">
        <v>80</v>
      </c>
      <c r="D9" s="34" t="s">
        <v>60</v>
      </c>
      <c r="E9" s="42" t="s">
        <v>81</v>
      </c>
    </row>
    <row r="10" spans="1:5" ht="32.25" thickBot="1" x14ac:dyDescent="0.3">
      <c r="A10" s="54"/>
      <c r="B10" s="54" t="s">
        <v>88</v>
      </c>
      <c r="C10" s="51" t="s">
        <v>89</v>
      </c>
      <c r="D10" s="52" t="s">
        <v>60</v>
      </c>
      <c r="E10" s="49" t="s">
        <v>90</v>
      </c>
    </row>
    <row r="11" spans="1:5" ht="32.25" thickBot="1" x14ac:dyDescent="0.3">
      <c r="A11" s="43" t="s">
        <v>65</v>
      </c>
      <c r="B11" s="43" t="s">
        <v>68</v>
      </c>
      <c r="C11" s="43"/>
      <c r="D11" s="43"/>
      <c r="E11" s="44" t="s">
        <v>74</v>
      </c>
    </row>
    <row r="12" spans="1:5" ht="31.5" x14ac:dyDescent="0.25">
      <c r="A12" s="45" t="s">
        <v>62</v>
      </c>
      <c r="B12" s="45" t="s">
        <v>63</v>
      </c>
      <c r="C12" s="45" t="s">
        <v>64</v>
      </c>
      <c r="D12" s="45" t="s">
        <v>60</v>
      </c>
      <c r="E12" s="46" t="s">
        <v>85</v>
      </c>
    </row>
  </sheetData>
  <printOptions horizontalCentered="1" verticalCentered="1"/>
  <pageMargins left="0.25" right="0.25" top="0.75" bottom="0.75" header="0.3" footer="0.3"/>
  <pageSetup orientation="landscape" r:id="rId1"/>
  <headerFooter>
    <oddHeader>&amp;CEast Carolina University Libraries ArchivesSpace Migration - Communication Plan</oddHead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Project Timeline</vt:lpstr>
      <vt:lpstr>Three-Point Analysis</vt:lpstr>
      <vt:lpstr>Communication Plan</vt:lpstr>
      <vt:lpstr>Critical 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Emily Esposito</dc:creator>
  <cp:lastModifiedBy>Spring, Kelly</cp:lastModifiedBy>
  <cp:lastPrinted>2018-12-06T17:44:47Z</cp:lastPrinted>
  <dcterms:created xsi:type="dcterms:W3CDTF">2015-02-24T20:54:23Z</dcterms:created>
  <dcterms:modified xsi:type="dcterms:W3CDTF">2020-02-19T14:57:53Z</dcterms:modified>
</cp:coreProperties>
</file>